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OneDrive\Escritorio\MMWEB2.0\"/>
    </mc:Choice>
  </mc:AlternateContent>
  <xr:revisionPtr revIDLastSave="0" documentId="13_ncr:1_{3229A032-DAF7-4D7D-A629-573956BD190E}" xr6:coauthVersionLast="47" xr6:coauthVersionMax="47" xr10:uidLastSave="{00000000-0000-0000-0000-000000000000}"/>
  <bookViews>
    <workbookView xWindow="-108" yWindow="-108" windowWidth="23256" windowHeight="12576" activeTab="2" xr2:uid="{CEF6B5E6-FE69-49E1-B619-8B04469FFC64}"/>
  </bookViews>
  <sheets>
    <sheet name="GENERO" sheetId="1" r:id="rId1"/>
    <sheet name="EDADES" sheetId="2" r:id="rId2"/>
    <sheet name="LAVADO" sheetId="3" r:id="rId3"/>
    <sheet name="HILO DENTAL" sheetId="4" r:id="rId4"/>
    <sheet name="CAMBIO DE CEPILLO" sheetId="5" r:id="rId5"/>
    <sheet name="ENJUAGUE" sheetId="6" r:id="rId6"/>
    <sheet name="VISITA AL DENTISTA" sheetId="7" r:id="rId7"/>
    <sheet name="AZUCARES" sheetId="8" r:id="rId8"/>
    <sheet name="CEPILLADO AL DORMIR" sheetId="9" r:id="rId9"/>
    <sheet name="TECNICA" sheetId="10" r:id="rId10"/>
    <sheet name="CARIES" sheetId="11" r:id="rId11"/>
    <sheet name="TIEMPO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2" i="3"/>
  <c r="E4" i="3"/>
  <c r="E3" i="3"/>
  <c r="E2" i="3"/>
  <c r="F5" i="4"/>
  <c r="F4" i="4"/>
  <c r="F3" i="4"/>
  <c r="F2" i="4"/>
  <c r="E5" i="4"/>
  <c r="E4" i="4"/>
  <c r="E3" i="4"/>
  <c r="E2" i="4"/>
  <c r="F5" i="5"/>
  <c r="F4" i="5"/>
  <c r="F3" i="5"/>
  <c r="F2" i="5"/>
  <c r="E5" i="5"/>
  <c r="E4" i="5"/>
  <c r="E3" i="5"/>
  <c r="E2" i="5"/>
  <c r="F4" i="6"/>
  <c r="F3" i="6"/>
  <c r="E4" i="6"/>
  <c r="E3" i="6"/>
  <c r="F5" i="7"/>
  <c r="F3" i="7"/>
  <c r="F2" i="7"/>
  <c r="E5" i="7"/>
  <c r="E3" i="7"/>
  <c r="E2" i="7"/>
  <c r="F3" i="8"/>
  <c r="F2" i="8"/>
  <c r="E3" i="8"/>
  <c r="E2" i="8"/>
  <c r="F3" i="9"/>
  <c r="F2" i="9"/>
  <c r="E3" i="9"/>
  <c r="E2" i="9"/>
  <c r="F4" i="10"/>
  <c r="F3" i="10"/>
  <c r="F2" i="10"/>
  <c r="E4" i="10"/>
  <c r="E3" i="10"/>
  <c r="E2" i="10"/>
  <c r="F4" i="11"/>
  <c r="F3" i="11"/>
  <c r="F2" i="11"/>
  <c r="E4" i="11"/>
  <c r="E3" i="11"/>
  <c r="E2" i="11"/>
  <c r="F4" i="12"/>
  <c r="F3" i="12"/>
  <c r="E4" i="12"/>
  <c r="E3" i="12"/>
  <c r="F2" i="12"/>
  <c r="E2" i="12"/>
  <c r="D3" i="12"/>
  <c r="D4" i="12"/>
  <c r="D2" i="12"/>
  <c r="D3" i="11"/>
  <c r="D4" i="11"/>
  <c r="D2" i="11"/>
  <c r="D3" i="10"/>
  <c r="D4" i="10"/>
  <c r="D2" i="10"/>
  <c r="D3" i="9"/>
  <c r="D4" i="9"/>
  <c r="D2" i="9"/>
  <c r="D3" i="8"/>
  <c r="D2" i="8"/>
  <c r="D3" i="7"/>
  <c r="D4" i="7"/>
  <c r="D5" i="7"/>
  <c r="D2" i="7"/>
  <c r="D3" i="6"/>
  <c r="D4" i="6"/>
  <c r="D2" i="6"/>
  <c r="D3" i="5"/>
  <c r="D4" i="5"/>
  <c r="D5" i="5"/>
  <c r="D2" i="5"/>
  <c r="D4" i="3"/>
  <c r="D5" i="4"/>
  <c r="D4" i="4"/>
  <c r="D3" i="4"/>
  <c r="D2" i="4"/>
  <c r="D2" i="3"/>
  <c r="D3" i="3"/>
  <c r="C2" i="2"/>
  <c r="C4" i="2"/>
  <c r="C3" i="2"/>
  <c r="C6" i="2" s="1"/>
  <c r="C3" i="1"/>
  <c r="C2" i="1"/>
</calcChain>
</file>

<file path=xl/sharedStrings.xml><?xml version="1.0" encoding="utf-8"?>
<sst xmlns="http://schemas.openxmlformats.org/spreadsheetml/2006/main" count="104" uniqueCount="55">
  <si>
    <t>Mujeres</t>
  </si>
  <si>
    <t>Hombres</t>
  </si>
  <si>
    <t>MUNERO TOTAL</t>
  </si>
  <si>
    <t>TOTAL</t>
  </si>
  <si>
    <t xml:space="preserve">          %</t>
  </si>
  <si>
    <t xml:space="preserve"> Numero total</t>
  </si>
  <si>
    <t xml:space="preserve">            %</t>
  </si>
  <si>
    <t>Edad</t>
  </si>
  <si>
    <t>54 a 65</t>
  </si>
  <si>
    <t>28 a 45</t>
  </si>
  <si>
    <t>17 a 21</t>
  </si>
  <si>
    <t>HOMBRES</t>
  </si>
  <si>
    <t>MUJERES</t>
  </si>
  <si>
    <t>3 o mas veces</t>
  </si>
  <si>
    <t>2 Veces</t>
  </si>
  <si>
    <t>1 Vez</t>
  </si>
  <si>
    <t>CAMBIOS DE CEPILLO</t>
  </si>
  <si>
    <t>VISITA AL DENTISTA</t>
  </si>
  <si>
    <t>CONSUMO DE ALIMENTOS O BEBIDAS AZUCARADAS</t>
  </si>
  <si>
    <t>CEPILLADO DE DIENTES ANTES DE DORMIR</t>
  </si>
  <si>
    <t>CONOCES LA TECNICA DE CEPILLADO</t>
  </si>
  <si>
    <t>LAVADO DE DIENTES AL DIA</t>
  </si>
  <si>
    <t>USO DE HILO DENTAL (frecuencia)</t>
  </si>
  <si>
    <t>USO DE ENJUAGUE BUCAL</t>
  </si>
  <si>
    <t>PRECENCIA DE CARIES EN EL ULTIMO AÑO</t>
  </si>
  <si>
    <t>CUANTO TIEMPO LE DEDICAS AL CEPILLADO</t>
  </si>
  <si>
    <t>Menos de un minuto</t>
  </si>
  <si>
    <t>Uno a dos minutos</t>
  </si>
  <si>
    <t>Mas de dos minutos</t>
  </si>
  <si>
    <t>Si</t>
  </si>
  <si>
    <t>No</t>
  </si>
  <si>
    <t>Mas o menos</t>
  </si>
  <si>
    <t>Siempre</t>
  </si>
  <si>
    <t>A veces</t>
  </si>
  <si>
    <t>Nunca</t>
  </si>
  <si>
    <t xml:space="preserve">MUJERES </t>
  </si>
  <si>
    <t>Solo cuando siento dolor</t>
  </si>
  <si>
    <t>Cada seis meses</t>
  </si>
  <si>
    <t>Una vez al año</t>
  </si>
  <si>
    <t>MUJERS</t>
  </si>
  <si>
    <t>Si, a diario</t>
  </si>
  <si>
    <t>Solo recurrentemente</t>
  </si>
  <si>
    <t>Cada 3 meses</t>
  </si>
  <si>
    <t>Cada 6 meses</t>
  </si>
  <si>
    <t>Solo cuando se desgasta</t>
  </si>
  <si>
    <t>No lo se</t>
  </si>
  <si>
    <t>Diario</t>
  </si>
  <si>
    <t>Algunas veces a la semana</t>
  </si>
  <si>
    <t>Rara vez</t>
  </si>
  <si>
    <t xml:space="preserve">HOMBRES </t>
  </si>
  <si>
    <t>% HOMBRES</t>
  </si>
  <si>
    <t>% MUJERES</t>
  </si>
  <si>
    <t xml:space="preserve"> % MUJERES</t>
  </si>
  <si>
    <t>%  HOMBRES</t>
  </si>
  <si>
    <t>No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</si>
</sst>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GENERO!$B$1</c:f>
              <c:strCache>
                <c:ptCount val="1"/>
                <c:pt idx="0">
                  <c:v>MUNERO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GENERO!$A$2:$A$4</c:f>
              <c:strCache>
                <c:ptCount val="3"/>
                <c:pt idx="0">
                  <c:v>Mujeres</c:v>
                </c:pt>
                <c:pt idx="1">
                  <c:v>Hombres</c:v>
                </c:pt>
                <c:pt idx="2">
                  <c:v>TOTAL</c:v>
                </c:pt>
              </c:strCache>
            </c:strRef>
          </c:cat>
          <c:val>
            <c:numRef>
              <c:f>GENERO!$B$2:$B$4</c:f>
              <c:numCache>
                <c:formatCode>General</c:formatCode>
                <c:ptCount val="3"/>
                <c:pt idx="0">
                  <c:v>16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C-4316-8720-B43DA2E5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14639"/>
        <c:axId val="1081712239"/>
        <c:axId val="0"/>
      </c:bar3DChart>
      <c:catAx>
        <c:axId val="108171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12239"/>
        <c:crosses val="autoZero"/>
        <c:auto val="1"/>
        <c:lblAlgn val="ctr"/>
        <c:lblOffset val="100"/>
        <c:noMultiLvlLbl val="0"/>
      </c:catAx>
      <c:valAx>
        <c:axId val="10817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EDADES!$B$1</c:f>
              <c:strCache>
                <c:ptCount val="1"/>
                <c:pt idx="0">
                  <c:v> Numero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EDADES!$A$2:$A$6</c:f>
              <c:strCache>
                <c:ptCount val="5"/>
                <c:pt idx="0">
                  <c:v>17 a 21</c:v>
                </c:pt>
                <c:pt idx="1">
                  <c:v>28 a 45</c:v>
                </c:pt>
                <c:pt idx="2">
                  <c:v>54 a 65</c:v>
                </c:pt>
                <c:pt idx="4">
                  <c:v>TOTAL</c:v>
                </c:pt>
              </c:strCache>
            </c:strRef>
          </c:cat>
          <c:val>
            <c:numRef>
              <c:f>EDADES!$B$2:$B$6</c:f>
              <c:numCache>
                <c:formatCode>General</c:formatCode>
                <c:ptCount val="5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2-4982-8DFA-18505A48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00239"/>
        <c:axId val="1081715599"/>
        <c:axId val="0"/>
      </c:bar3DChart>
      <c:catAx>
        <c:axId val="10817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15599"/>
        <c:crosses val="autoZero"/>
        <c:auto val="1"/>
        <c:lblAlgn val="ctr"/>
        <c:lblOffset val="100"/>
        <c:noMultiLvlLbl val="0"/>
      </c:catAx>
      <c:valAx>
        <c:axId val="10817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0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LAVADO!$B$1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LAVADO!$A$2:$A$4</c:f>
              <c:strCache>
                <c:ptCount val="3"/>
                <c:pt idx="0">
                  <c:v>3 o mas veces</c:v>
                </c:pt>
                <c:pt idx="1">
                  <c:v>2 Veces</c:v>
                </c:pt>
                <c:pt idx="2">
                  <c:v>1 Vez</c:v>
                </c:pt>
              </c:strCache>
            </c:strRef>
          </c:cat>
          <c:val>
            <c:numRef>
              <c:f>LAVADO!$B$2:$B$4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4-416A-A41D-DC253DCC9CC2}"/>
            </c:ext>
          </c:extLst>
        </c:ser>
        <c:ser>
          <c:idx val="1"/>
          <c:order val="1"/>
          <c:tx>
            <c:strRef>
              <c:f>LAVADO!$C$1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LAVADO!$A$2:$A$4</c:f>
              <c:strCache>
                <c:ptCount val="3"/>
                <c:pt idx="0">
                  <c:v>3 o mas veces</c:v>
                </c:pt>
                <c:pt idx="1">
                  <c:v>2 Veces</c:v>
                </c:pt>
                <c:pt idx="2">
                  <c:v>1 Vez</c:v>
                </c:pt>
              </c:strCache>
            </c:strRef>
          </c:cat>
          <c:val>
            <c:numRef>
              <c:f>LAVADO!$C$2:$C$4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4-416A-A41D-DC253DCC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31919"/>
        <c:axId val="1081740559"/>
        <c:axId val="0"/>
      </c:bar3DChart>
      <c:catAx>
        <c:axId val="108173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40559"/>
        <c:crosses val="autoZero"/>
        <c:auto val="1"/>
        <c:lblAlgn val="ctr"/>
        <c:lblOffset val="100"/>
        <c:noMultiLvlLbl val="0"/>
      </c:catAx>
      <c:valAx>
        <c:axId val="10817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3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'HILO DENTAL'!$B$1</c:f>
              <c:strCache>
                <c:ptCount val="1"/>
                <c:pt idx="0">
                  <c:v>HOMBRES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'HILO DENTAL'!$A$2:$A$5</c:f>
              <c:strCache>
                <c:ptCount val="4"/>
                <c:pt idx="0">
                  <c:v>Diario</c:v>
                </c:pt>
                <c:pt idx="1">
                  <c:v>Algunas veces a la semana</c:v>
                </c:pt>
                <c:pt idx="2">
                  <c:v>Rara vez</c:v>
                </c:pt>
                <c:pt idx="3">
                  <c:v>Nunca</c:v>
                </c:pt>
              </c:strCache>
            </c:strRef>
          </c:cat>
          <c:val>
            <c:numRef>
              <c:f>'HILO DENTAL'!$B$2:$B$5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B-4C6A-81F2-880E59B902C7}"/>
            </c:ext>
          </c:extLst>
        </c:ser>
        <c:ser>
          <c:idx val="1"/>
          <c:order val="1"/>
          <c:tx>
            <c:strRef>
              <c:f>'HILO DENTAL'!$C$1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'HILO DENTAL'!$A$2:$A$5</c:f>
              <c:strCache>
                <c:ptCount val="4"/>
                <c:pt idx="0">
                  <c:v>Diario</c:v>
                </c:pt>
                <c:pt idx="1">
                  <c:v>Algunas veces a la semana</c:v>
                </c:pt>
                <c:pt idx="2">
                  <c:v>Rara vez</c:v>
                </c:pt>
                <c:pt idx="3">
                  <c:v>Nunca</c:v>
                </c:pt>
              </c:strCache>
            </c:strRef>
          </c:cat>
          <c:val>
            <c:numRef>
              <c:f>'HILO DENTAL'!$C$2:$C$5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B-4C6A-81F2-880E59B9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49199"/>
        <c:axId val="1081736239"/>
        <c:axId val="0"/>
      </c:bar3DChart>
      <c:catAx>
        <c:axId val="108174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36239"/>
        <c:crosses val="autoZero"/>
        <c:auto val="1"/>
        <c:lblAlgn val="ctr"/>
        <c:lblOffset val="100"/>
        <c:noMultiLvlLbl val="0"/>
      </c:catAx>
      <c:valAx>
        <c:axId val="10817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4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'CAMBIO DE CEPILLO'!$B$1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'CAMBIO DE CEPILLO'!$A$2:$A$5</c:f>
              <c:strCache>
                <c:ptCount val="4"/>
                <c:pt idx="0">
                  <c:v>Cada 3 meses</c:v>
                </c:pt>
                <c:pt idx="1">
                  <c:v>Cada 6 meses</c:v>
                </c:pt>
                <c:pt idx="2">
                  <c:v>Solo cuando se desgasta</c:v>
                </c:pt>
                <c:pt idx="3">
                  <c:v>No lo se</c:v>
                </c:pt>
              </c:strCache>
            </c:strRef>
          </c:cat>
          <c:val>
            <c:numRef>
              <c:f>'CAMBIO DE CEPILLO'!$B$2:$B$5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3-4E3C-AD9D-400AD57681AF}"/>
            </c:ext>
          </c:extLst>
        </c:ser>
        <c:ser>
          <c:idx val="1"/>
          <c:order val="1"/>
          <c:tx>
            <c:strRef>
              <c:f>'CAMBIO DE CEPILLO'!$C$1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'CAMBIO DE CEPILLO'!$A$2:$A$5</c:f>
              <c:strCache>
                <c:ptCount val="4"/>
                <c:pt idx="0">
                  <c:v>Cada 3 meses</c:v>
                </c:pt>
                <c:pt idx="1">
                  <c:v>Cada 6 meses</c:v>
                </c:pt>
                <c:pt idx="2">
                  <c:v>Solo cuando se desgasta</c:v>
                </c:pt>
                <c:pt idx="3">
                  <c:v>No lo se</c:v>
                </c:pt>
              </c:strCache>
            </c:strRef>
          </c:cat>
          <c:val>
            <c:numRef>
              <c:f>'CAMBIO DE CEPILLO'!$C$2:$C$5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3-4E3C-AD9D-400AD5768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10799"/>
        <c:axId val="1081721839"/>
        <c:axId val="0"/>
      </c:bar3DChart>
      <c:catAx>
        <c:axId val="10817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21839"/>
        <c:crosses val="autoZero"/>
        <c:auto val="1"/>
        <c:lblAlgn val="ctr"/>
        <c:lblOffset val="100"/>
        <c:noMultiLvlLbl val="0"/>
      </c:catAx>
      <c:valAx>
        <c:axId val="108172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1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ENJUAGUE!$B$1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ENJUAGUE!$A$2:$A$4</c:f>
              <c:strCache>
                <c:ptCount val="3"/>
                <c:pt idx="0">
                  <c:v>Si, a diario</c:v>
                </c:pt>
                <c:pt idx="1">
                  <c:v>No</c:v>
                </c:pt>
                <c:pt idx="2">
                  <c:v>Solo recurrentemente</c:v>
                </c:pt>
              </c:strCache>
            </c:strRef>
          </c:cat>
          <c:val>
            <c:numRef>
              <c:f>ENJUAGUE!$B$2:$B$4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E-43EB-944F-901EDC6CA4D2}"/>
            </c:ext>
          </c:extLst>
        </c:ser>
        <c:ser>
          <c:idx val="1"/>
          <c:order val="1"/>
          <c:tx>
            <c:strRef>
              <c:f>ENJUAGUE!$C$1</c:f>
              <c:strCache>
                <c:ptCount val="1"/>
                <c:pt idx="0">
                  <c:v>MUJERS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ENJUAGUE!$A$2:$A$4</c:f>
              <c:strCache>
                <c:ptCount val="3"/>
                <c:pt idx="0">
                  <c:v>Si, a diario</c:v>
                </c:pt>
                <c:pt idx="1">
                  <c:v>No</c:v>
                </c:pt>
                <c:pt idx="2">
                  <c:v>Solo recurrentemente</c:v>
                </c:pt>
              </c:strCache>
            </c:strRef>
          </c:cat>
          <c:val>
            <c:numRef>
              <c:f>ENJUAGUE!$C$2:$C$4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E-43EB-944F-901EDC6CA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17519"/>
        <c:axId val="1081703119"/>
        <c:axId val="0"/>
      </c:bar3DChart>
      <c:catAx>
        <c:axId val="10817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03119"/>
        <c:crosses val="autoZero"/>
        <c:auto val="1"/>
        <c:lblAlgn val="ctr"/>
        <c:lblOffset val="100"/>
        <c:noMultiLvlLbl val="0"/>
      </c:catAx>
      <c:valAx>
        <c:axId val="10817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'VISITA AL DENTISTA'!$B$1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'VISITA AL DENTISTA'!$A$2:$A$5</c:f>
              <c:strCache>
                <c:ptCount val="4"/>
                <c:pt idx="0">
                  <c:v>Solo cuando siento dolor</c:v>
                </c:pt>
                <c:pt idx="1">
                  <c:v>Cada seis meses</c:v>
                </c:pt>
                <c:pt idx="2">
                  <c:v>Nunca</c:v>
                </c:pt>
                <c:pt idx="3">
                  <c:v>Una vez al año</c:v>
                </c:pt>
              </c:strCache>
            </c:strRef>
          </c:cat>
          <c:val>
            <c:numRef>
              <c:f>'VISITA AL DENTISTA'!$B$2:$B$5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F-4DD7-B08B-7B98F498F582}"/>
            </c:ext>
          </c:extLst>
        </c:ser>
        <c:ser>
          <c:idx val="1"/>
          <c:order val="1"/>
          <c:tx>
            <c:strRef>
              <c:f>'VISITA AL DENTISTA'!$C$1</c:f>
              <c:strCache>
                <c:ptCount val="1"/>
                <c:pt idx="0">
                  <c:v>MUJERES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'VISITA AL DENTISTA'!$A$2:$A$5</c:f>
              <c:strCache>
                <c:ptCount val="4"/>
                <c:pt idx="0">
                  <c:v>Solo cuando siento dolor</c:v>
                </c:pt>
                <c:pt idx="1">
                  <c:v>Cada seis meses</c:v>
                </c:pt>
                <c:pt idx="2">
                  <c:v>Nunca</c:v>
                </c:pt>
                <c:pt idx="3">
                  <c:v>Una vez al año</c:v>
                </c:pt>
              </c:strCache>
            </c:strRef>
          </c:cat>
          <c:val>
            <c:numRef>
              <c:f>'VISITA AL DENTISTA'!$C$2:$C$5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F-4DD7-B08B-7B98F498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26639"/>
        <c:axId val="1081753519"/>
        <c:axId val="0"/>
      </c:bar3DChart>
      <c:catAx>
        <c:axId val="108172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53519"/>
        <c:crosses val="autoZero"/>
        <c:auto val="1"/>
        <c:lblAlgn val="ctr"/>
        <c:lblOffset val="100"/>
        <c:noMultiLvlLbl val="0"/>
      </c:catAx>
      <c:valAx>
        <c:axId val="10817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2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AZUCARES!$A$2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AZUCARES!$B$1:$C$1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AZUCARES!$B$2:$C$2</c:f>
              <c:numCache>
                <c:formatCode>General</c:formatCode>
                <c:ptCount val="2"/>
                <c:pt idx="0">
                  <c:v>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5-4FE1-A56C-5D9354D2EE58}"/>
            </c:ext>
          </c:extLst>
        </c:ser>
        <c:ser>
          <c:idx val="1"/>
          <c:order val="1"/>
          <c:tx>
            <c:strRef>
              <c:f>AZUCARES!$A$3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AZUCARES!$B$1:$C$1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AZUCARES!$B$3:$C$3</c:f>
              <c:numCache>
                <c:formatCode>General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5-4FE1-A56C-5D9354D2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20399"/>
        <c:axId val="1081721359"/>
        <c:axId val="0"/>
      </c:bar3DChart>
      <c:catAx>
        <c:axId val="108172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21359"/>
        <c:crosses val="autoZero"/>
        <c:auto val="1"/>
        <c:lblAlgn val="ctr"/>
        <c:lblOffset val="100"/>
        <c:noMultiLvlLbl val="0"/>
      </c:catAx>
      <c:valAx>
        <c:axId val="10817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2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'CEPILLADO AL DORMIR'!$B$1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'CEPILLADO AL DORMIR'!$A$2:$A$4</c:f>
              <c:strCache>
                <c:ptCount val="3"/>
                <c:pt idx="0">
                  <c:v>Siempre</c:v>
                </c:pt>
                <c:pt idx="1">
                  <c:v>A veces</c:v>
                </c:pt>
                <c:pt idx="2">
                  <c:v>Nunca</c:v>
                </c:pt>
              </c:strCache>
            </c:strRef>
          </c:cat>
          <c:val>
            <c:numRef>
              <c:f>'CEPILLADO AL DORMIR'!$B$2:$B$4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F-4560-97D2-B20BCD84B8AE}"/>
            </c:ext>
          </c:extLst>
        </c:ser>
        <c:ser>
          <c:idx val="1"/>
          <c:order val="1"/>
          <c:tx>
            <c:strRef>
              <c:f>'CEPILLADO AL DORMIR'!$C$1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'CEPILLADO AL DORMIR'!$A$2:$A$4</c:f>
              <c:strCache>
                <c:ptCount val="3"/>
                <c:pt idx="0">
                  <c:v>Siempre</c:v>
                </c:pt>
                <c:pt idx="1">
                  <c:v>A veces</c:v>
                </c:pt>
                <c:pt idx="2">
                  <c:v>Nunca</c:v>
                </c:pt>
              </c:strCache>
            </c:strRef>
          </c:cat>
          <c:val>
            <c:numRef>
              <c:f>'CEPILLADO AL DORMIR'!$C$2:$C$4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F-4560-97D2-B20BCD84B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40079"/>
        <c:axId val="1081741999"/>
        <c:axId val="0"/>
      </c:bar3DChart>
      <c:catAx>
        <c:axId val="10817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41999"/>
        <c:crosses val="autoZero"/>
        <c:auto val="1"/>
        <c:lblAlgn val="ctr"/>
        <c:lblOffset val="100"/>
        <c:noMultiLvlLbl val="0"/>
      </c:catAx>
      <c:valAx>
        <c:axId val="10817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TECNICA!$B$1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TECNICA!$A$2:$A$4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Mas o menos</c:v>
                </c:pt>
              </c:strCache>
            </c:strRef>
          </c:cat>
          <c:val>
            <c:numRef>
              <c:f>TECNICA!$B$2:$B$4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2-4F38-9A39-4B0F82ABC628}"/>
            </c:ext>
          </c:extLst>
        </c:ser>
        <c:ser>
          <c:idx val="1"/>
          <c:order val="1"/>
          <c:tx>
            <c:strRef>
              <c:f>TECNICA!$C$1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TECNICA!$A$2:$A$4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Mas o menos</c:v>
                </c:pt>
              </c:strCache>
            </c:strRef>
          </c:cat>
          <c:val>
            <c:numRef>
              <c:f>TECNICA!$C$2:$C$4</c:f>
              <c:numCache>
                <c:formatCode>General</c:formatCode>
                <c:ptCount val="3"/>
                <c:pt idx="0">
                  <c:v>12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2-4F38-9A39-4B0F82AB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49679"/>
        <c:axId val="1081730959"/>
        <c:axId val="0"/>
      </c:bar3DChart>
      <c:catAx>
        <c:axId val="10817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30959"/>
        <c:crosses val="autoZero"/>
        <c:auto val="1"/>
        <c:lblAlgn val="ctr"/>
        <c:lblOffset val="100"/>
        <c:noMultiLvlLbl val="0"/>
      </c:catAx>
      <c:valAx>
        <c:axId val="10817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4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CARIES!$B$1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CARIES!$A$2:$A$4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No se</c:v>
                </c:pt>
              </c:strCache>
            </c:strRef>
          </c:cat>
          <c:val>
            <c:numRef>
              <c:f>CARIES!$B$2:$B$4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1-430E-9C83-7E45454265BB}"/>
            </c:ext>
          </c:extLst>
        </c:ser>
        <c:ser>
          <c:idx val="1"/>
          <c:order val="1"/>
          <c:tx>
            <c:strRef>
              <c:f>CARIES!$C$1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CARIES!$A$2:$A$4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No se</c:v>
                </c:pt>
              </c:strCache>
            </c:strRef>
          </c:cat>
          <c:val>
            <c:numRef>
              <c:f>CARIES!$C$2:$C$4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1-430E-9C83-7E4545426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36719"/>
        <c:axId val="1081727599"/>
        <c:axId val="0"/>
      </c:bar3DChart>
      <c:catAx>
        <c:axId val="108173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27599"/>
        <c:crosses val="autoZero"/>
        <c:auto val="1"/>
        <c:lblAlgn val="ctr"/>
        <c:lblOffset val="100"/>
        <c:noMultiLvlLbl val="0"/>
      </c:catAx>
      <c:valAx>
        <c:axId val="10817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TIEMPO!$B$1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TIEMPO!$A$2:$A$4</c:f>
              <c:strCache>
                <c:ptCount val="3"/>
                <c:pt idx="0">
                  <c:v>Menos de un minuto</c:v>
                </c:pt>
                <c:pt idx="1">
                  <c:v>Uno a dos minutos</c:v>
                </c:pt>
                <c:pt idx="2">
                  <c:v>Mas de dos minutos</c:v>
                </c:pt>
              </c:strCache>
            </c:strRef>
          </c:cat>
          <c:val>
            <c:numRef>
              <c:f>TIEMPO!$B$2:$B$4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A-49A0-9766-292699BAE0D7}"/>
            </c:ext>
          </c:extLst>
        </c:ser>
        <c:ser>
          <c:idx val="1"/>
          <c:order val="1"/>
          <c:tx>
            <c:strRef>
              <c:f>TIEMPO!$C$1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TIEMPO!$A$2:$A$4</c:f>
              <c:strCache>
                <c:ptCount val="3"/>
                <c:pt idx="0">
                  <c:v>Menos de un minuto</c:v>
                </c:pt>
                <c:pt idx="1">
                  <c:v>Uno a dos minutos</c:v>
                </c:pt>
                <c:pt idx="2">
                  <c:v>Mas de dos minutos</c:v>
                </c:pt>
              </c:strCache>
            </c:strRef>
          </c:cat>
          <c:val>
            <c:numRef>
              <c:f>TIEMPO!$C$2:$C$4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A-49A0-9766-292699BA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1706959"/>
        <c:axId val="1081705999"/>
        <c:axId val="0"/>
      </c:bar3DChart>
      <c:catAx>
        <c:axId val="10817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05999"/>
        <c:crosses val="autoZero"/>
        <c:auto val="1"/>
        <c:lblAlgn val="ctr"/>
        <c:lblOffset val="100"/>
        <c:noMultiLvlLbl val="0"/>
      </c:catAx>
      <c:valAx>
        <c:axId val="108170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7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80010</xdr:rowOff>
    </xdr:from>
    <xdr:to>
      <xdr:col>9</xdr:col>
      <xdr:colOff>670560</xdr:colOff>
      <xdr:row>21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C7A75D-F7BB-924A-0028-27ED79E2E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6</xdr:row>
      <xdr:rowOff>80010</xdr:rowOff>
    </xdr:from>
    <xdr:to>
      <xdr:col>9</xdr:col>
      <xdr:colOff>655320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486050-EA72-249F-3126-A043428B3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6</xdr:row>
      <xdr:rowOff>80010</xdr:rowOff>
    </xdr:from>
    <xdr:to>
      <xdr:col>8</xdr:col>
      <xdr:colOff>586740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2B2CBB-DB4E-A776-0D44-994A3F2CB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6</xdr:row>
      <xdr:rowOff>80010</xdr:rowOff>
    </xdr:from>
    <xdr:to>
      <xdr:col>8</xdr:col>
      <xdr:colOff>213360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A800A0-BA25-42D5-0D6B-7BEA1CDE4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80010</xdr:rowOff>
    </xdr:from>
    <xdr:to>
      <xdr:col>8</xdr:col>
      <xdr:colOff>693420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F3D70F-4FC8-648C-9CD1-C7EEAC743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6</xdr:row>
      <xdr:rowOff>80010</xdr:rowOff>
    </xdr:from>
    <xdr:to>
      <xdr:col>8</xdr:col>
      <xdr:colOff>632460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09235-D366-01A8-E986-3D8BFBBB4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80010</xdr:rowOff>
    </xdr:from>
    <xdr:to>
      <xdr:col>8</xdr:col>
      <xdr:colOff>693420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3B0BEC-480B-AF2B-6056-FF96A4A6D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6</xdr:row>
      <xdr:rowOff>80010</xdr:rowOff>
    </xdr:from>
    <xdr:to>
      <xdr:col>6</xdr:col>
      <xdr:colOff>701040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5265A9-E9E7-AE24-CF44-1507109B8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6</xdr:row>
      <xdr:rowOff>80010</xdr:rowOff>
    </xdr:from>
    <xdr:to>
      <xdr:col>7</xdr:col>
      <xdr:colOff>480060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D1F85E-8F39-F831-4427-B7D2F6F3C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6</xdr:row>
      <xdr:rowOff>80010</xdr:rowOff>
    </xdr:from>
    <xdr:to>
      <xdr:col>8</xdr:col>
      <xdr:colOff>30480</xdr:colOff>
      <xdr:row>21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103BB0-B941-4440-6643-6B436AE34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6</xdr:row>
      <xdr:rowOff>80010</xdr:rowOff>
    </xdr:from>
    <xdr:to>
      <xdr:col>7</xdr:col>
      <xdr:colOff>502920</xdr:colOff>
      <xdr:row>21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B907E7-E788-CCBB-E1ED-DBA3407B9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6</xdr:row>
      <xdr:rowOff>80010</xdr:rowOff>
    </xdr:from>
    <xdr:to>
      <xdr:col>7</xdr:col>
      <xdr:colOff>365760</xdr:colOff>
      <xdr:row>21</xdr:row>
      <xdr:rowOff>80010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6ACEDF7-1FEA-97E7-F8B5-D7666D7BC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30AC-BBAE-4376-8025-3968263F6FB1}">
  <dimension ref="A1:C4"/>
  <sheetViews>
    <sheetView workbookViewId="0">
      <selection activeCell="D8" sqref="D8"/>
    </sheetView>
  </sheetViews>
  <sheetFormatPr baseColWidth="10" defaultRowHeight="14.4" x14ac:dyDescent="0.3"/>
  <cols>
    <col min="2" max="2" width="14.6640625" customWidth="1"/>
  </cols>
  <sheetData>
    <row r="1" spans="1:3" x14ac:dyDescent="0.3">
      <c r="B1" t="s">
        <v>2</v>
      </c>
      <c r="C1" t="s">
        <v>4</v>
      </c>
    </row>
    <row r="2" spans="1:3" x14ac:dyDescent="0.3">
      <c r="A2" t="s">
        <v>0</v>
      </c>
      <c r="B2">
        <v>16</v>
      </c>
      <c r="C2">
        <f>B2/B4*100</f>
        <v>76.19047619047619</v>
      </c>
    </row>
    <row r="3" spans="1:3" x14ac:dyDescent="0.3">
      <c r="A3" t="s">
        <v>1</v>
      </c>
      <c r="B3">
        <v>5</v>
      </c>
      <c r="C3">
        <f>B3/B4*100</f>
        <v>23.809523809523807</v>
      </c>
    </row>
    <row r="4" spans="1:3" x14ac:dyDescent="0.3">
      <c r="A4" t="s">
        <v>3</v>
      </c>
      <c r="B4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12F4-6DD0-4ADA-833D-02C18B9C2BF9}">
  <dimension ref="A1:C6"/>
  <sheetViews>
    <sheetView workbookViewId="0">
      <selection activeCell="L17" sqref="L17"/>
    </sheetView>
  </sheetViews>
  <sheetFormatPr baseColWidth="10" defaultRowHeight="14.4" x14ac:dyDescent="0.3"/>
  <cols>
    <col min="2" max="2" width="13.44140625" customWidth="1"/>
    <col min="3" max="3" width="12.109375" customWidth="1"/>
    <col min="5" max="5" width="12.44140625" customWidth="1"/>
  </cols>
  <sheetData>
    <row r="1" spans="1:3" x14ac:dyDescent="0.3">
      <c r="A1" t="s">
        <v>7</v>
      </c>
      <c r="B1" t="s">
        <v>5</v>
      </c>
      <c r="C1" t="s">
        <v>6</v>
      </c>
    </row>
    <row r="2" spans="1:3" x14ac:dyDescent="0.3">
      <c r="A2" t="s">
        <v>10</v>
      </c>
      <c r="B2">
        <v>11</v>
      </c>
      <c r="C2">
        <f>B2/B6*100</f>
        <v>52.380952380952387</v>
      </c>
    </row>
    <row r="3" spans="1:3" x14ac:dyDescent="0.3">
      <c r="A3" t="s">
        <v>9</v>
      </c>
      <c r="B3">
        <v>5</v>
      </c>
      <c r="C3">
        <f>B3/B6*100</f>
        <v>23.809523809523807</v>
      </c>
    </row>
    <row r="4" spans="1:3" x14ac:dyDescent="0.3">
      <c r="A4" t="s">
        <v>8</v>
      </c>
      <c r="B4">
        <v>5</v>
      </c>
      <c r="C4">
        <f>B4/B6*100</f>
        <v>23.809523809523807</v>
      </c>
    </row>
    <row r="6" spans="1:3" x14ac:dyDescent="0.3">
      <c r="A6" t="s">
        <v>3</v>
      </c>
      <c r="B6">
        <v>21</v>
      </c>
      <c r="C6">
        <f>C2+C3+C4</f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98A8-B343-41D3-8ED5-647B6CE3C633}">
  <dimension ref="A1:F4"/>
  <sheetViews>
    <sheetView tabSelected="1" workbookViewId="0">
      <selection activeCell="A15" sqref="A15"/>
    </sheetView>
  </sheetViews>
  <sheetFormatPr baseColWidth="10" defaultRowHeight="14.4" x14ac:dyDescent="0.3"/>
  <cols>
    <col min="1" max="1" width="24.6640625" customWidth="1"/>
    <col min="5" max="5" width="11.5546875" customWidth="1"/>
  </cols>
  <sheetData>
    <row r="1" spans="1:6" x14ac:dyDescent="0.3">
      <c r="A1" t="s">
        <v>21</v>
      </c>
      <c r="B1" t="s">
        <v>11</v>
      </c>
      <c r="C1" t="s">
        <v>12</v>
      </c>
      <c r="D1" t="s">
        <v>3</v>
      </c>
      <c r="E1" t="s">
        <v>50</v>
      </c>
      <c r="F1" t="s">
        <v>52</v>
      </c>
    </row>
    <row r="2" spans="1:6" x14ac:dyDescent="0.3">
      <c r="A2" t="s">
        <v>13</v>
      </c>
      <c r="B2">
        <v>3</v>
      </c>
      <c r="C2">
        <v>9</v>
      </c>
      <c r="D2">
        <f>B2+C2</f>
        <v>12</v>
      </c>
      <c r="E2" s="1">
        <f>B2/D2</f>
        <v>0.25</v>
      </c>
      <c r="F2" s="1">
        <f>C2/D2</f>
        <v>0.75</v>
      </c>
    </row>
    <row r="3" spans="1:6" x14ac:dyDescent="0.3">
      <c r="A3" t="s">
        <v>14</v>
      </c>
      <c r="B3">
        <v>1</v>
      </c>
      <c r="C3">
        <v>5</v>
      </c>
      <c r="D3">
        <f>B3+C3</f>
        <v>6</v>
      </c>
      <c r="E3" s="1">
        <f>B3/D3</f>
        <v>0.16666666666666666</v>
      </c>
      <c r="F3" s="1">
        <f>C3/D3</f>
        <v>0.83333333333333337</v>
      </c>
    </row>
    <row r="4" spans="1:6" x14ac:dyDescent="0.3">
      <c r="A4" t="s">
        <v>15</v>
      </c>
      <c r="B4">
        <v>0</v>
      </c>
      <c r="C4">
        <v>3</v>
      </c>
      <c r="D4">
        <f>B4+C4</f>
        <v>3</v>
      </c>
      <c r="E4" s="1">
        <f>B4/D4</f>
        <v>0</v>
      </c>
      <c r="F4" s="1">
        <f>C4/D4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996A-690C-451F-B312-DDF4DFFBCD0B}">
  <dimension ref="A1:F5"/>
  <sheetViews>
    <sheetView workbookViewId="0">
      <selection activeCell="C12" sqref="C12"/>
    </sheetView>
  </sheetViews>
  <sheetFormatPr baseColWidth="10" defaultRowHeight="14.4" x14ac:dyDescent="0.3"/>
  <cols>
    <col min="1" max="1" width="30.109375" customWidth="1"/>
  </cols>
  <sheetData>
    <row r="1" spans="1:6" x14ac:dyDescent="0.3">
      <c r="A1" t="s">
        <v>22</v>
      </c>
      <c r="B1" t="s">
        <v>49</v>
      </c>
      <c r="C1" t="s">
        <v>12</v>
      </c>
      <c r="D1" t="s">
        <v>3</v>
      </c>
      <c r="E1" t="s">
        <v>50</v>
      </c>
      <c r="F1" t="s">
        <v>52</v>
      </c>
    </row>
    <row r="2" spans="1:6" x14ac:dyDescent="0.3">
      <c r="A2" t="s">
        <v>46</v>
      </c>
      <c r="B2">
        <v>0</v>
      </c>
      <c r="C2">
        <v>3</v>
      </c>
      <c r="D2">
        <f>B2+C2</f>
        <v>3</v>
      </c>
      <c r="E2" s="1">
        <f>B2/D2</f>
        <v>0</v>
      </c>
      <c r="F2" s="1">
        <f>C2/D2</f>
        <v>1</v>
      </c>
    </row>
    <row r="3" spans="1:6" x14ac:dyDescent="0.3">
      <c r="A3" t="s">
        <v>47</v>
      </c>
      <c r="B3">
        <v>3</v>
      </c>
      <c r="C3">
        <v>8</v>
      </c>
      <c r="D3">
        <f>B3+C3</f>
        <v>11</v>
      </c>
      <c r="E3" s="1">
        <f>B3/D3</f>
        <v>0.27272727272727271</v>
      </c>
      <c r="F3" s="1">
        <f>C3/D3</f>
        <v>0.72727272727272729</v>
      </c>
    </row>
    <row r="4" spans="1:6" x14ac:dyDescent="0.3">
      <c r="A4" t="s">
        <v>48</v>
      </c>
      <c r="B4">
        <v>1</v>
      </c>
      <c r="C4">
        <v>5</v>
      </c>
      <c r="D4">
        <f>B4+C4</f>
        <v>6</v>
      </c>
      <c r="E4" s="1">
        <f>B4/D4</f>
        <v>0.16666666666666666</v>
      </c>
      <c r="F4" s="1">
        <f>C4/D4</f>
        <v>0.83333333333333337</v>
      </c>
    </row>
    <row r="5" spans="1:6" x14ac:dyDescent="0.3">
      <c r="A5" t="s">
        <v>34</v>
      </c>
      <c r="B5">
        <v>0</v>
      </c>
      <c r="C5">
        <v>1</v>
      </c>
      <c r="D5">
        <f>B5+C5</f>
        <v>1</v>
      </c>
      <c r="E5" s="1">
        <f>B5/D5</f>
        <v>0</v>
      </c>
      <c r="F5" s="1">
        <f>C5/D5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AF25-C021-4AF0-8F42-12AE6725EC24}">
  <dimension ref="A1:F5"/>
  <sheetViews>
    <sheetView workbookViewId="0">
      <selection activeCell="C5" sqref="A1:C5"/>
    </sheetView>
  </sheetViews>
  <sheetFormatPr baseColWidth="10" defaultRowHeight="14.4" x14ac:dyDescent="0.3"/>
  <cols>
    <col min="1" max="1" width="22.5546875" customWidth="1"/>
    <col min="5" max="5" width="12.109375" customWidth="1"/>
  </cols>
  <sheetData>
    <row r="1" spans="1:6" x14ac:dyDescent="0.3">
      <c r="A1" t="s">
        <v>16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42</v>
      </c>
      <c r="B2">
        <v>3</v>
      </c>
      <c r="C2">
        <v>9</v>
      </c>
      <c r="D2">
        <f>B2+C2</f>
        <v>12</v>
      </c>
      <c r="E2" s="1">
        <f>B2/D2</f>
        <v>0.25</v>
      </c>
      <c r="F2" s="1">
        <f>C2/D2</f>
        <v>0.75</v>
      </c>
    </row>
    <row r="3" spans="1:6" x14ac:dyDescent="0.3">
      <c r="A3" t="s">
        <v>43</v>
      </c>
      <c r="B3">
        <v>1</v>
      </c>
      <c r="C3">
        <v>2</v>
      </c>
      <c r="D3">
        <f t="shared" ref="D3:D5" si="0">B3+C3</f>
        <v>3</v>
      </c>
      <c r="E3" s="1">
        <f>B3/D3</f>
        <v>0.33333333333333331</v>
      </c>
      <c r="F3" s="1">
        <f>C3/D3</f>
        <v>0.66666666666666663</v>
      </c>
    </row>
    <row r="4" spans="1:6" x14ac:dyDescent="0.3">
      <c r="A4" t="s">
        <v>44</v>
      </c>
      <c r="B4">
        <v>0</v>
      </c>
      <c r="C4">
        <v>4</v>
      </c>
      <c r="D4">
        <f t="shared" si="0"/>
        <v>4</v>
      </c>
      <c r="E4" s="1">
        <f>B4/D4</f>
        <v>0</v>
      </c>
      <c r="F4" s="1">
        <f>C4/D4</f>
        <v>1</v>
      </c>
    </row>
    <row r="5" spans="1:6" x14ac:dyDescent="0.3">
      <c r="A5" t="s">
        <v>45</v>
      </c>
      <c r="B5">
        <v>0</v>
      </c>
      <c r="C5">
        <v>2</v>
      </c>
      <c r="D5">
        <f t="shared" si="0"/>
        <v>2</v>
      </c>
      <c r="E5" s="1">
        <f>B5/D5</f>
        <v>0</v>
      </c>
      <c r="F5" s="1">
        <f>C5/D5</f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D166-4F82-427C-AAB0-B6B58B64C2CE}">
  <dimension ref="A1:F4"/>
  <sheetViews>
    <sheetView workbookViewId="0">
      <selection activeCell="C4" sqref="A1:C4"/>
    </sheetView>
  </sheetViews>
  <sheetFormatPr baseColWidth="10" defaultRowHeight="14.4" x14ac:dyDescent="0.3"/>
  <cols>
    <col min="1" max="1" width="23.44140625" customWidth="1"/>
    <col min="5" max="5" width="12.109375" customWidth="1"/>
  </cols>
  <sheetData>
    <row r="1" spans="1:6" x14ac:dyDescent="0.3">
      <c r="A1" t="s">
        <v>23</v>
      </c>
      <c r="B1" t="s">
        <v>11</v>
      </c>
      <c r="C1" t="s">
        <v>39</v>
      </c>
      <c r="D1" t="s">
        <v>3</v>
      </c>
      <c r="E1" t="s">
        <v>53</v>
      </c>
      <c r="F1" t="s">
        <v>51</v>
      </c>
    </row>
    <row r="2" spans="1:6" x14ac:dyDescent="0.3">
      <c r="A2" t="s">
        <v>40</v>
      </c>
      <c r="B2">
        <v>0</v>
      </c>
      <c r="C2">
        <v>0</v>
      </c>
      <c r="D2">
        <f>B2+C2</f>
        <v>0</v>
      </c>
      <c r="E2" s="2">
        <v>1</v>
      </c>
      <c r="F2" s="2">
        <v>1</v>
      </c>
    </row>
    <row r="3" spans="1:6" x14ac:dyDescent="0.3">
      <c r="A3" t="s">
        <v>30</v>
      </c>
      <c r="B3">
        <v>3</v>
      </c>
      <c r="C3">
        <v>8</v>
      </c>
      <c r="D3">
        <f t="shared" ref="D3:D4" si="0">B3+C3</f>
        <v>11</v>
      </c>
      <c r="E3" s="1">
        <f>B3/D3</f>
        <v>0.27272727272727271</v>
      </c>
      <c r="F3" s="1">
        <f>C3/D3</f>
        <v>0.72727272727272729</v>
      </c>
    </row>
    <row r="4" spans="1:6" x14ac:dyDescent="0.3">
      <c r="A4" t="s">
        <v>41</v>
      </c>
      <c r="B4">
        <v>1</v>
      </c>
      <c r="C4">
        <v>9</v>
      </c>
      <c r="D4">
        <f t="shared" si="0"/>
        <v>10</v>
      </c>
      <c r="E4" s="1">
        <f>B4/D4</f>
        <v>0.1</v>
      </c>
      <c r="F4" s="1">
        <f>C4/D4</f>
        <v>0.9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5FAF-45E4-4999-8979-8A560F8C4FA8}">
  <dimension ref="A1:F5"/>
  <sheetViews>
    <sheetView workbookViewId="0">
      <selection activeCell="C5" sqref="A1:C5"/>
    </sheetView>
  </sheetViews>
  <sheetFormatPr baseColWidth="10" defaultRowHeight="14.4" x14ac:dyDescent="0.3"/>
  <cols>
    <col min="1" max="1" width="22.6640625" customWidth="1"/>
    <col min="5" max="5" width="12" customWidth="1"/>
  </cols>
  <sheetData>
    <row r="1" spans="1:6" x14ac:dyDescent="0.3">
      <c r="A1" t="s">
        <v>17</v>
      </c>
      <c r="B1" t="s">
        <v>11</v>
      </c>
      <c r="C1" t="s">
        <v>35</v>
      </c>
      <c r="D1" t="s">
        <v>3</v>
      </c>
      <c r="E1" t="s">
        <v>50</v>
      </c>
      <c r="F1" t="s">
        <v>51</v>
      </c>
    </row>
    <row r="2" spans="1:6" x14ac:dyDescent="0.3">
      <c r="A2" t="s">
        <v>36</v>
      </c>
      <c r="B2">
        <v>3</v>
      </c>
      <c r="C2">
        <v>6</v>
      </c>
      <c r="D2">
        <f>B2+C2</f>
        <v>9</v>
      </c>
      <c r="E2" s="1">
        <f>B2/D2</f>
        <v>0.33333333333333331</v>
      </c>
      <c r="F2" s="1">
        <f>C2/D2</f>
        <v>0.66666666666666663</v>
      </c>
    </row>
    <row r="3" spans="1:6" x14ac:dyDescent="0.3">
      <c r="A3" t="s">
        <v>37</v>
      </c>
      <c r="B3">
        <v>1</v>
      </c>
      <c r="C3">
        <v>5</v>
      </c>
      <c r="D3">
        <f t="shared" ref="D3:D5" si="0">B3+C3</f>
        <v>6</v>
      </c>
      <c r="E3" s="1">
        <f>B3/D3</f>
        <v>0.16666666666666666</v>
      </c>
      <c r="F3" s="1">
        <f>C3/D3</f>
        <v>0.83333333333333337</v>
      </c>
    </row>
    <row r="4" spans="1:6" x14ac:dyDescent="0.3">
      <c r="A4" t="s">
        <v>34</v>
      </c>
      <c r="B4">
        <v>0</v>
      </c>
      <c r="C4">
        <v>0</v>
      </c>
      <c r="D4">
        <f t="shared" si="0"/>
        <v>0</v>
      </c>
      <c r="E4" s="1">
        <v>1</v>
      </c>
      <c r="F4" s="1">
        <v>1</v>
      </c>
    </row>
    <row r="5" spans="1:6" x14ac:dyDescent="0.3">
      <c r="A5" t="s">
        <v>38</v>
      </c>
      <c r="B5">
        <v>0</v>
      </c>
      <c r="C5">
        <v>6</v>
      </c>
      <c r="D5">
        <f t="shared" si="0"/>
        <v>6</v>
      </c>
      <c r="E5" s="1">
        <f>B5/D5</f>
        <v>0</v>
      </c>
      <c r="F5" s="1">
        <f>C5/D5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CB6C-3897-4D6F-999E-C7264321B433}">
  <dimension ref="A1:F3"/>
  <sheetViews>
    <sheetView workbookViewId="0">
      <selection activeCell="I12" sqref="I12"/>
    </sheetView>
  </sheetViews>
  <sheetFormatPr baseColWidth="10" defaultRowHeight="14.4" x14ac:dyDescent="0.3"/>
  <cols>
    <col min="1" max="1" width="45.6640625" customWidth="1"/>
    <col min="5" max="5" width="12" customWidth="1"/>
  </cols>
  <sheetData>
    <row r="1" spans="1:6" x14ac:dyDescent="0.3">
      <c r="A1" t="s">
        <v>18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29</v>
      </c>
      <c r="B2">
        <v>2</v>
      </c>
      <c r="C2">
        <v>12</v>
      </c>
      <c r="D2">
        <f>B2+C2</f>
        <v>14</v>
      </c>
      <c r="E2" s="1">
        <f>B2/D2</f>
        <v>0.14285714285714285</v>
      </c>
      <c r="F2" s="1">
        <f>C2/D2</f>
        <v>0.8571428571428571</v>
      </c>
    </row>
    <row r="3" spans="1:6" x14ac:dyDescent="0.3">
      <c r="A3" t="s">
        <v>30</v>
      </c>
      <c r="B3">
        <v>2</v>
      </c>
      <c r="C3">
        <v>5</v>
      </c>
      <c r="D3">
        <f>B3+C3</f>
        <v>7</v>
      </c>
      <c r="E3" s="1">
        <f>B3/D3</f>
        <v>0.2857142857142857</v>
      </c>
      <c r="F3" s="1">
        <f>C3/D3</f>
        <v>0.7142857142857143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1E52-1935-48A2-B5EA-CBC10565E09E}">
  <dimension ref="A1:F4"/>
  <sheetViews>
    <sheetView workbookViewId="0">
      <selection activeCell="C4" sqref="A1:C4"/>
    </sheetView>
  </sheetViews>
  <sheetFormatPr baseColWidth="10" defaultRowHeight="14.4" x14ac:dyDescent="0.3"/>
  <cols>
    <col min="1" max="1" width="37.33203125" customWidth="1"/>
    <col min="5" max="5" width="12" customWidth="1"/>
  </cols>
  <sheetData>
    <row r="1" spans="1:6" x14ac:dyDescent="0.3">
      <c r="A1" t="s">
        <v>19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32</v>
      </c>
      <c r="B2">
        <v>3</v>
      </c>
      <c r="C2">
        <v>14</v>
      </c>
      <c r="D2">
        <f>B2+C2</f>
        <v>17</v>
      </c>
      <c r="E2" s="1">
        <f>B2/D2</f>
        <v>0.17647058823529413</v>
      </c>
      <c r="F2" s="1">
        <f>C2/D2</f>
        <v>0.82352941176470584</v>
      </c>
    </row>
    <row r="3" spans="1:6" x14ac:dyDescent="0.3">
      <c r="A3" t="s">
        <v>33</v>
      </c>
      <c r="B3">
        <v>1</v>
      </c>
      <c r="C3">
        <v>3</v>
      </c>
      <c r="D3">
        <f t="shared" ref="D3:D4" si="0">B3+C3</f>
        <v>4</v>
      </c>
      <c r="E3" s="1">
        <f>B3/D3</f>
        <v>0.25</v>
      </c>
      <c r="F3" s="1">
        <f>C3/D3</f>
        <v>0.75</v>
      </c>
    </row>
    <row r="4" spans="1:6" x14ac:dyDescent="0.3">
      <c r="A4" t="s">
        <v>34</v>
      </c>
      <c r="B4">
        <v>0</v>
      </c>
      <c r="C4">
        <v>0</v>
      </c>
      <c r="D4">
        <f t="shared" si="0"/>
        <v>0</v>
      </c>
      <c r="E4" s="1">
        <v>1</v>
      </c>
      <c r="F4" s="2">
        <v>1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A0D4-25F7-4156-B38C-B84D0682B580}">
  <dimension ref="A1:F4"/>
  <sheetViews>
    <sheetView workbookViewId="0">
      <selection activeCell="C4" sqref="A1:C4"/>
    </sheetView>
  </sheetViews>
  <sheetFormatPr baseColWidth="10" defaultRowHeight="14.4" x14ac:dyDescent="0.3"/>
  <cols>
    <col min="1" max="1" width="32.44140625" customWidth="1"/>
    <col min="5" max="5" width="11.88671875" customWidth="1"/>
  </cols>
  <sheetData>
    <row r="1" spans="1:6" x14ac:dyDescent="0.3">
      <c r="A1" t="s">
        <v>20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29</v>
      </c>
      <c r="B2">
        <v>1</v>
      </c>
      <c r="C2">
        <v>12</v>
      </c>
      <c r="D2">
        <f>B2+C2</f>
        <v>13</v>
      </c>
      <c r="E2" s="1">
        <f>B2/D2</f>
        <v>7.6923076923076927E-2</v>
      </c>
      <c r="F2" s="1">
        <f>C2/D2</f>
        <v>0.92307692307692313</v>
      </c>
    </row>
    <row r="3" spans="1:6" x14ac:dyDescent="0.3">
      <c r="A3" t="s">
        <v>30</v>
      </c>
      <c r="B3">
        <v>0</v>
      </c>
      <c r="C3">
        <v>1</v>
      </c>
      <c r="D3">
        <f t="shared" ref="D3:D4" si="0">B3+C3</f>
        <v>1</v>
      </c>
      <c r="E3" s="1">
        <f>B3/D3</f>
        <v>0</v>
      </c>
      <c r="F3" s="1">
        <f>C3/D3</f>
        <v>1</v>
      </c>
    </row>
    <row r="4" spans="1:6" x14ac:dyDescent="0.3">
      <c r="A4" t="s">
        <v>31</v>
      </c>
      <c r="B4">
        <v>3</v>
      </c>
      <c r="C4">
        <v>5</v>
      </c>
      <c r="D4">
        <f t="shared" si="0"/>
        <v>8</v>
      </c>
      <c r="E4" s="1">
        <f>B4/D4</f>
        <v>0.375</v>
      </c>
      <c r="F4" s="1">
        <f>C4/D4</f>
        <v>0.625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987D-030D-405A-97F6-7A3CA9965395}">
  <dimension ref="A1:F4"/>
  <sheetViews>
    <sheetView workbookViewId="0">
      <selection activeCell="C4" sqref="A1:C4"/>
    </sheetView>
  </sheetViews>
  <sheetFormatPr baseColWidth="10" defaultRowHeight="14.4" x14ac:dyDescent="0.3"/>
  <cols>
    <col min="1" max="1" width="36.88671875" customWidth="1"/>
    <col min="5" max="5" width="12.109375" customWidth="1"/>
  </cols>
  <sheetData>
    <row r="1" spans="1:6" x14ac:dyDescent="0.3">
      <c r="A1" t="s">
        <v>24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29</v>
      </c>
      <c r="B2">
        <v>0</v>
      </c>
      <c r="C2">
        <v>4</v>
      </c>
      <c r="D2">
        <f>B2+C2</f>
        <v>4</v>
      </c>
      <c r="E2" s="1">
        <f>B2/D2</f>
        <v>0</v>
      </c>
      <c r="F2" s="1">
        <f>C2/D2</f>
        <v>1</v>
      </c>
    </row>
    <row r="3" spans="1:6" x14ac:dyDescent="0.3">
      <c r="A3" t="s">
        <v>30</v>
      </c>
      <c r="B3">
        <v>4</v>
      </c>
      <c r="C3">
        <v>5</v>
      </c>
      <c r="D3">
        <f t="shared" ref="D3:D4" si="0">B3+C3</f>
        <v>9</v>
      </c>
      <c r="E3" s="1">
        <f>B3/D3</f>
        <v>0.44444444444444442</v>
      </c>
      <c r="F3" s="1">
        <f>C3/D3</f>
        <v>0.55555555555555558</v>
      </c>
    </row>
    <row r="4" spans="1:6" x14ac:dyDescent="0.3">
      <c r="A4" t="s">
        <v>54</v>
      </c>
      <c r="B4">
        <v>0</v>
      </c>
      <c r="C4">
        <v>3</v>
      </c>
      <c r="D4">
        <f t="shared" si="0"/>
        <v>3</v>
      </c>
      <c r="E4" s="1">
        <f>B4/D4</f>
        <v>0</v>
      </c>
      <c r="F4" s="1">
        <f>C4/D4</f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C96E-BE45-4DBA-8914-FB8390CF277D}">
  <dimension ref="A1:F4"/>
  <sheetViews>
    <sheetView workbookViewId="0">
      <selection activeCell="G4" sqref="G4"/>
    </sheetView>
  </sheetViews>
  <sheetFormatPr baseColWidth="10" defaultRowHeight="14.4" x14ac:dyDescent="0.3"/>
  <cols>
    <col min="1" max="1" width="38.5546875" customWidth="1"/>
    <col min="5" max="5" width="12.44140625" customWidth="1"/>
  </cols>
  <sheetData>
    <row r="1" spans="1:6" x14ac:dyDescent="0.3">
      <c r="A1" t="s">
        <v>25</v>
      </c>
      <c r="B1" t="s">
        <v>11</v>
      </c>
      <c r="C1" t="s">
        <v>12</v>
      </c>
      <c r="D1" t="s">
        <v>3</v>
      </c>
      <c r="E1" t="s">
        <v>50</v>
      </c>
      <c r="F1" t="s">
        <v>51</v>
      </c>
    </row>
    <row r="2" spans="1:6" x14ac:dyDescent="0.3">
      <c r="A2" t="s">
        <v>26</v>
      </c>
      <c r="B2">
        <v>1</v>
      </c>
      <c r="C2">
        <v>6</v>
      </c>
      <c r="D2">
        <f>B2+C2</f>
        <v>7</v>
      </c>
      <c r="E2" s="1">
        <f>B2/D2</f>
        <v>0.14285714285714285</v>
      </c>
      <c r="F2" s="1">
        <f>C2/D2</f>
        <v>0.8571428571428571</v>
      </c>
    </row>
    <row r="3" spans="1:6" x14ac:dyDescent="0.3">
      <c r="A3" t="s">
        <v>27</v>
      </c>
      <c r="B3">
        <v>2</v>
      </c>
      <c r="C3">
        <v>9</v>
      </c>
      <c r="D3">
        <f t="shared" ref="D3:D4" si="0">B3+C3</f>
        <v>11</v>
      </c>
      <c r="E3" s="1">
        <f>B3/D3</f>
        <v>0.18181818181818182</v>
      </c>
      <c r="F3" s="1">
        <f>C3/D3</f>
        <v>0.81818181818181823</v>
      </c>
    </row>
    <row r="4" spans="1:6" x14ac:dyDescent="0.3">
      <c r="A4" t="s">
        <v>28</v>
      </c>
      <c r="B4">
        <v>1</v>
      </c>
      <c r="C4">
        <v>2</v>
      </c>
      <c r="D4">
        <f t="shared" si="0"/>
        <v>3</v>
      </c>
      <c r="E4" s="1">
        <f>B4/D4</f>
        <v>0.33333333333333331</v>
      </c>
      <c r="F4" s="1">
        <f>C4/D4</f>
        <v>0.66666666666666663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GENERO</vt:lpstr>
      <vt:lpstr>EDADES</vt:lpstr>
      <vt:lpstr>LAVADO</vt:lpstr>
      <vt:lpstr>HILO DENTAL</vt:lpstr>
      <vt:lpstr>CAMBIO DE CEPILLO</vt:lpstr>
      <vt:lpstr>ENJUAGUE</vt:lpstr>
      <vt:lpstr>VISITA AL DENTISTA</vt:lpstr>
      <vt:lpstr>AZUCARES</vt:lpstr>
      <vt:lpstr>CEPILLADO AL DORMIR</vt:lpstr>
      <vt:lpstr>TECNICA</vt:lpstr>
      <vt:lpstr>CARIES</vt:lpstr>
      <vt:lpstr>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kenialara605@gmail.com</dc:creator>
  <cp:lastModifiedBy>HERRERA HERNANDEZ, BRANDON</cp:lastModifiedBy>
  <dcterms:created xsi:type="dcterms:W3CDTF">2026-05-11T01:17:49Z</dcterms:created>
  <dcterms:modified xsi:type="dcterms:W3CDTF">2026-05-22T02:00:44Z</dcterms:modified>
</cp:coreProperties>
</file>